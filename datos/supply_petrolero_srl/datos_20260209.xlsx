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idum\Desktop\"/>
    </mc:Choice>
  </mc:AlternateContent>
  <xr:revisionPtr revIDLastSave="0" documentId="13_ncr:1_{3C120EF1-FF4F-4330-8160-DBE129F3B524}" xr6:coauthVersionLast="47" xr6:coauthVersionMax="47" xr10:uidLastSave="{00000000-0000-0000-0000-000000000000}"/>
  <bookViews>
    <workbookView xWindow="-120" yWindow="-120" windowWidth="29040" windowHeight="15720" xr2:uid="{4193DE2A-1730-4F7B-9755-746E7AB674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C8" i="1"/>
</calcChain>
</file>

<file path=xl/sharedStrings.xml><?xml version="1.0" encoding="utf-8"?>
<sst xmlns="http://schemas.openxmlformats.org/spreadsheetml/2006/main" count="6" uniqueCount="6">
  <si>
    <t>Resumen de operaciones mensuales declaradas en IVA</t>
  </si>
  <si>
    <t>Ventas</t>
  </si>
  <si>
    <t xml:space="preserve">Compras que generan CF </t>
  </si>
  <si>
    <t xml:space="preserve">Compras Exentas / NG </t>
  </si>
  <si>
    <t>Sueldos y Cargas Sociales</t>
  </si>
  <si>
    <t xml:space="preserve">Margen operativo declarado en DDJJ de 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</si>
</sst>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7" fontId="2" fillId="2" borderId="0" xfId="0" applyNumberFormat="1" applyFont="1" applyFill="1"/>
    <xf numFmtId="43" fontId="4" fillId="0" borderId="0" xfId="1" applyFont="1" applyBorder="1" applyAlignment="1">
      <alignment horizontal="left"/>
    </xf>
    <xf numFmtId="43" fontId="3" fillId="0" borderId="0" xfId="1" applyFont="1" applyBorder="1" applyAlignment="1">
      <alignment horizontal="center"/>
    </xf>
    <xf numFmtId="43" fontId="3" fillId="0" borderId="0" xfId="1" applyFont="1"/>
    <xf numFmtId="43" fontId="5" fillId="0" borderId="1" xfId="1" applyFont="1" applyBorder="1" applyAlignment="1">
      <alignment horizontal="left"/>
    </xf>
    <xf numFmtId="43" fontId="2" fillId="0" borderId="1" xfId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8384-BFC8-4E93-9202-15E0449F454E}">
  <dimension ref="B3:H8"/>
  <sheetViews>
    <sheetView tabSelected="1" workbookViewId="0">
      <selection activeCell="G17" sqref="G17"/>
    </sheetView>
  </sheetViews>
  <sheetFormatPr baseColWidth="10" defaultRowHeight="15" x14ac:dyDescent="0.25"/>
  <cols>
    <col min="2" max="2" width="44.28515625" bestFit="1" customWidth="1"/>
    <col min="3" max="5" width="13.42578125" bestFit="1" customWidth="1"/>
    <col min="6" max="7" width="14.42578125" bestFit="1" customWidth="1"/>
    <col min="8" max="8" width="13.42578125" bestFit="1" customWidth="1"/>
  </cols>
  <sheetData>
    <row r="3" spans="2:8" x14ac:dyDescent="0.25">
      <c r="B3" s="1" t="s">
        <v>0</v>
      </c>
      <c r="C3" s="2">
        <v>45844</v>
      </c>
      <c r="D3" s="2">
        <v>45875</v>
      </c>
      <c r="E3" s="2">
        <v>45906</v>
      </c>
      <c r="F3" s="2">
        <v>45937</v>
      </c>
      <c r="G3" s="2">
        <v>45968</v>
      </c>
      <c r="H3" s="2">
        <v>45999</v>
      </c>
    </row>
    <row r="4" spans="2:8" x14ac:dyDescent="0.25">
      <c r="B4" s="3" t="s">
        <v>1</v>
      </c>
      <c r="C4" s="4">
        <v>363095044.06142855</v>
      </c>
      <c r="D4" s="4">
        <v>441802666.12857199</v>
      </c>
      <c r="E4" s="4">
        <v>332610504.40809524</v>
      </c>
      <c r="F4" s="4">
        <v>546773137.8885715</v>
      </c>
      <c r="G4" s="4">
        <v>607233434.61904764</v>
      </c>
      <c r="H4" s="4">
        <v>332339128.84476185</v>
      </c>
    </row>
    <row r="5" spans="2:8" x14ac:dyDescent="0.25">
      <c r="B5" s="3" t="s">
        <v>2</v>
      </c>
      <c r="C5" s="5">
        <v>146670507.12698415</v>
      </c>
      <c r="D5" s="5">
        <v>306957895.84126985</v>
      </c>
      <c r="E5" s="5">
        <v>163774731.65079364</v>
      </c>
      <c r="F5" s="5">
        <v>230595347.10052913</v>
      </c>
      <c r="G5" s="5">
        <v>278569420.20634919</v>
      </c>
      <c r="H5" s="5">
        <v>148644763.86243385</v>
      </c>
    </row>
    <row r="6" spans="2:8" x14ac:dyDescent="0.25">
      <c r="B6" s="3" t="s">
        <v>3</v>
      </c>
      <c r="C6" s="5">
        <v>136044627.09</v>
      </c>
      <c r="D6" s="5">
        <v>103411887.24000001</v>
      </c>
      <c r="E6" s="5">
        <v>56189439.289999999</v>
      </c>
      <c r="F6" s="5">
        <v>39547504.25</v>
      </c>
      <c r="G6" s="5">
        <v>51369188.93</v>
      </c>
      <c r="H6" s="5">
        <v>33275997.030000001</v>
      </c>
    </row>
    <row r="7" spans="2:8" x14ac:dyDescent="0.25">
      <c r="B7" s="3" t="s">
        <v>4</v>
      </c>
      <c r="C7" s="5">
        <v>44960025.270000003</v>
      </c>
      <c r="D7" s="5">
        <v>43779238.730400003</v>
      </c>
      <c r="E7" s="5">
        <v>43718219.599200003</v>
      </c>
      <c r="F7" s="5">
        <v>43122186.501199998</v>
      </c>
      <c r="G7" s="5">
        <v>44084442.984099999</v>
      </c>
      <c r="H7" s="5">
        <v>66074348.877200007</v>
      </c>
    </row>
    <row r="8" spans="2:8" ht="15.75" thickBot="1" x14ac:dyDescent="0.3">
      <c r="B8" s="6" t="s">
        <v>5</v>
      </c>
      <c r="C8" s="7">
        <f>+C4-C5-C6-C7</f>
        <v>35419884.574444391</v>
      </c>
      <c r="D8" s="7">
        <f t="shared" ref="D8:H8" si="0">+D4-D5-D6-D7</f>
        <v>-12346355.683097877</v>
      </c>
      <c r="E8" s="7">
        <f t="shared" si="0"/>
        <v>68928113.868101597</v>
      </c>
      <c r="F8" s="7">
        <f t="shared" si="0"/>
        <v>233508100.03684238</v>
      </c>
      <c r="G8" s="7">
        <f t="shared" si="0"/>
        <v>233210382.49859846</v>
      </c>
      <c r="H8" s="7">
        <f t="shared" si="0"/>
        <v>84344019.075127989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Preidum</dc:creator>
  <cp:lastModifiedBy>Santiago Preidum</cp:lastModifiedBy>
  <dcterms:created xsi:type="dcterms:W3CDTF">2026-02-03T18:36:50Z</dcterms:created>
  <dcterms:modified xsi:type="dcterms:W3CDTF">2026-02-03T18:37:47Z</dcterms:modified>
</cp:coreProperties>
</file>